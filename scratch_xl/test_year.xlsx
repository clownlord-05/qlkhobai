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kết" state="visible" r:id="rId4"/>
    <sheet sheetId="2" name="Chi tiết" state="visible" r:id="rId5"/>
    <sheet sheetId="3" name="Lịch sử giá" state="visible" r:id="rId6"/>
  </sheets>
  <definedNames>
    <definedName name="_xlnm.Print_Titles" localSheetId="1">'Chi tiết'!$4:$4</definedName>
    <definedName name="_xlnm.Print_Titles" localSheetId="2">'Lịch sử giá'!$4:$4</definedName>
  </definedNames>
  <calcPr calcId="171027" fullCalcOnLoad="1"/>
</workbook>
</file>

<file path=xl/sharedStrings.xml><?xml version="1.0" encoding="utf-8"?>
<sst xmlns="http://schemas.openxmlformats.org/spreadsheetml/2006/main" count="83" uniqueCount="54">
  <si>
    <t>BÁO CÁO THU CHI PHẾ LIỆU</t>
  </si>
  <si>
    <t>NĂM 2026</t>
  </si>
  <si>
    <t>Xuất lúc 09:21 ngày 05/10/2026 - Người xuất: tester</t>
  </si>
  <si>
    <t>I. TỔNG HỢP THU CHI</t>
  </si>
  <si>
    <t>Tổng chi (nhập phế liệu)</t>
  </si>
  <si>
    <t>đ</t>
  </si>
  <si>
    <t>Tổng thu (bán ra)</t>
  </si>
  <si>
    <t>Chênh lệch (thu − chi)</t>
  </si>
  <si>
    <t>Khối lượng nhập</t>
  </si>
  <si>
    <t>kg</t>
  </si>
  <si>
    <t>Khối lượng bán</t>
  </si>
  <si>
    <t>Số phiếu</t>
  </si>
  <si>
    <t>phiếu</t>
  </si>
  <si>
    <t>II. TỔNG HỢP THEO VẬT LIỆU</t>
  </si>
  <si>
    <t>STT</t>
  </si>
  <si>
    <t>Vật liệu</t>
  </si>
  <si>
    <t>KL nhập (kg)</t>
  </si>
  <si>
    <t>Tiền chi (đ)</t>
  </si>
  <si>
    <t>KL bán (kg)</t>
  </si>
  <si>
    <t>Tiền thu (đ)</t>
  </si>
  <si>
    <t>Chênh lệch (đ)</t>
  </si>
  <si>
    <t>đồng</t>
  </si>
  <si>
    <t>sắt</t>
  </si>
  <si>
    <t>TỔNG CỘNG</t>
  </si>
  <si>
    <t>III. THỐNG KÊ THEO THÁNG</t>
  </si>
  <si>
    <t>Tháng</t>
  </si>
  <si>
    <t>09/2026</t>
  </si>
  <si>
    <t>10/2026</t>
  </si>
  <si>
    <t>Ngày 05 tháng 10 năm 2026</t>
  </si>
  <si>
    <t>NGƯỜI LẬP BIỂU</t>
  </si>
  <si>
    <t>CHỦ CƠ SỞ</t>
  </si>
  <si>
    <t>(Ký, ghi rõ họ tên)</t>
  </si>
  <si>
    <t>BẢNG KÊ CHI TIẾT NHẬP / BÁN PHẾ LIỆU</t>
  </si>
  <si>
    <t>Ngày</t>
  </si>
  <si>
    <t>Giờ</t>
  </si>
  <si>
    <t>Loại</t>
  </si>
  <si>
    <t>Đơn giá (đ/kg)</t>
  </si>
  <si>
    <t>Khối lượng (kg)</t>
  </si>
  <si>
    <t>Thành tiền (đ)</t>
  </si>
  <si>
    <t>Ghi chú</t>
  </si>
  <si>
    <t>Nhập</t>
  </si>
  <si>
    <t>tháng trước</t>
  </si>
  <si>
    <t>lô 1</t>
  </si>
  <si>
    <t/>
  </si>
  <si>
    <t>Bán</t>
  </si>
  <si>
    <t>bán</t>
  </si>
  <si>
    <t>TỔNG NHẬP PHẾ LIỆU (CHI)</t>
  </si>
  <si>
    <t>TỔNG BÁN RA (THU)</t>
  </si>
  <si>
    <t>CHÊNH LỆCH (THU − CHI)</t>
  </si>
  <si>
    <t>LỊCH SỬ ĐIỀU CHỈNH ĐƠN GIÁ VẬT LIỆU</t>
  </si>
  <si>
    <t>Thời điểm điều chỉnh</t>
  </si>
  <si>
    <t>Giá cũ (đ/kg)</t>
  </si>
  <si>
    <t>Giá mới (đ/kg)</t>
  </si>
  <si>
    <t>Giá ban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</si>
</sst>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[Red]-#,##0"/>
    <numFmt numFmtId="165" formatCode="#,##0.###"/>
    <numFmt numFmtId="166" formatCode="dd/mm/yyyy"/>
    <numFmt numFmtId="167" formatCode="hh:mm"/>
    <numFmt numFmtId="168" formatCode="dd/mm/yyyy hh:mm"/>
  </numFmts>
  <fonts count="11" x14ac:knownFonts="1">
    <font>
      <color theme="1"/>
      <family val="2"/>
      <scheme val="minor"/>
      <sz val="11"/>
      <name val="Calibri"/>
    </font>
    <font>
      <b/>
      <color rgb="FF1B6B3A"/>
      <sz val="16"/>
      <name val="Arial"/>
    </font>
    <font>
      <b/>
      <color rgb="FF000000"/>
      <sz val="12"/>
      <name val="Arial"/>
    </font>
    <font>
      <i/>
      <color rgb="FF666666"/>
      <sz val="10"/>
      <name val="Arial"/>
    </font>
    <font>
      <b/>
      <color rgb="FF1B6B3A"/>
      <sz val="11"/>
      <name val="Arial"/>
    </font>
    <font>
      <name val="Arial"/>
    </font>
    <font>
      <b/>
      <name val="Arial"/>
    </font>
    <font>
      <b/>
      <color rgb="FFFFFFFF"/>
      <name val="Arial"/>
    </font>
    <font>
      <sz val="10"/>
      <name val="Arial"/>
    </font>
    <font>
      <i/>
      <name val="Arial"/>
    </font>
    <font>
      <i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DCEBE1"/>
      </patternFill>
    </fill>
    <fill>
      <patternFill patternType="solid">
        <fgColor rgb="FF1B6B3A"/>
      </patternFill>
    </fill>
    <fill>
      <patternFill patternType="solid">
        <fgColor rgb="FFF5F9F6"/>
      </patternFill>
    </fill>
  </fills>
  <borders count="2">
    <border>
      <left/>
      <right/>
      <top/>
      <bottom/>
      <diagonal/>
    </border>
    <border>
      <left style="thin">
        <color rgb="FF9AA5A0"/>
      </left>
      <right style="thin">
        <color rgb="FF9AA5A0"/>
      </right>
      <top style="thin">
        <color rgb="FF9AA5A0"/>
      </top>
      <bottom style="thin">
        <color rgb="FF9AA5A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5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165" fontId="8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66" fontId="8" fillId="4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/>
    </xf>
    <xf numFmtId="164" fontId="6" fillId="2" borderId="1" xfId="0" applyNumberFormat="1" applyFont="1" applyFill="1" applyBorder="1"/>
    <xf numFmtId="168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/>
    </xf>
    <xf numFmtId="168" fontId="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30" customWidth="1"/>
    <col min="3" max="3" width="16" customWidth="1"/>
    <col min="4" max="4" width="20" customWidth="1"/>
    <col min="5" max="5" width="16" customWidth="1"/>
    <col min="6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6" customHeight="1" spans="1:7" x14ac:dyDescent="0.25">
      <c r="A3" s="3" t="s">
        <v>2</v>
      </c>
      <c r="B3" s="3"/>
      <c r="C3" s="3"/>
      <c r="D3" s="3"/>
      <c r="E3" s="3"/>
      <c r="F3" s="3"/>
      <c r="G3" s="3"/>
    </row>
    <row r="5" ht="20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20" customHeight="1" spans="1:5" x14ac:dyDescent="0.25">
      <c r="A6" s="5" t="s">
        <v>4</v>
      </c>
      <c r="B6" s="5"/>
      <c r="C6" s="5"/>
      <c r="D6" s="6">
        <f>SUMIFS('Chi tiết'!$H$5:$H$8,'Chi tiết'!$D$5:$D$8,"Nhập")</f>
        <v>1453129</v>
      </c>
      <c r="E6" s="7" t="s">
        <v>5</v>
      </c>
    </row>
    <row r="7" ht="20" customHeight="1" spans="1:5" x14ac:dyDescent="0.25">
      <c r="A7" s="5" t="s">
        <v>6</v>
      </c>
      <c r="B7" s="5"/>
      <c r="C7" s="5"/>
      <c r="D7" s="6">
        <f>SUMIFS('Chi tiết'!$H$5:$H$8,'Chi tiết'!$D$5:$D$8,"Bán")</f>
        <v>525000</v>
      </c>
      <c r="E7" s="7" t="s">
        <v>5</v>
      </c>
    </row>
    <row r="8" ht="20" customHeight="1" spans="1:5" x14ac:dyDescent="0.25">
      <c r="A8" s="8" t="s">
        <v>7</v>
      </c>
      <c r="B8" s="8"/>
      <c r="C8" s="8"/>
      <c r="D8" s="6">
        <f>D7-D6</f>
        <v>-928129</v>
      </c>
      <c r="E8" s="9" t="s">
        <v>5</v>
      </c>
    </row>
    <row r="9" ht="20" customHeight="1" spans="1:5" x14ac:dyDescent="0.25">
      <c r="A9" s="5" t="s">
        <v>8</v>
      </c>
      <c r="B9" s="5"/>
      <c r="C9" s="5"/>
      <c r="D9" s="10">
        <f>SUMIFS('Chi tiết'!$G$5:$G$8,'Chi tiết'!$D$5:$D$8,"Nhập")</f>
        <v>1136.5</v>
      </c>
      <c r="E9" s="7" t="s">
        <v>9</v>
      </c>
    </row>
    <row r="10" ht="20" customHeight="1" spans="1:5" x14ac:dyDescent="0.25">
      <c r="A10" s="5" t="s">
        <v>10</v>
      </c>
      <c r="B10" s="5"/>
      <c r="C10" s="5"/>
      <c r="D10" s="10">
        <f>SUMIFS('Chi tiết'!$G$5:$G$8,'Chi tiết'!$D$5:$D$8,"Bán")</f>
        <v>5</v>
      </c>
      <c r="E10" s="7" t="s">
        <v>9</v>
      </c>
    </row>
    <row r="11" ht="20" customHeight="1" spans="1:5" x14ac:dyDescent="0.25">
      <c r="A11" s="5" t="s">
        <v>11</v>
      </c>
      <c r="B11" s="5"/>
      <c r="C11" s="5"/>
      <c r="D11" s="11">
        <f>COUNT('Chi tiết'!$A$5:$A$8)</f>
        <v>4</v>
      </c>
      <c r="E11" s="7" t="s">
        <v>12</v>
      </c>
    </row>
    <row r="13" ht="20" customHeight="1" spans="1:7" x14ac:dyDescent="0.25">
      <c r="A13" s="4" t="s">
        <v>13</v>
      </c>
      <c r="B13" s="4"/>
      <c r="C13" s="4"/>
      <c r="D13" s="4"/>
      <c r="E13" s="4"/>
      <c r="F13" s="4"/>
      <c r="G13" s="4"/>
    </row>
    <row r="14" ht="24" customHeight="1" spans="1:7" x14ac:dyDescent="0.25">
      <c r="A14" s="12" t="s">
        <v>14</v>
      </c>
      <c r="B14" s="12" t="s">
        <v>15</v>
      </c>
      <c r="C14" s="12" t="s">
        <v>16</v>
      </c>
      <c r="D14" s="12" t="s">
        <v>17</v>
      </c>
      <c r="E14" s="12" t="s">
        <v>18</v>
      </c>
      <c r="F14" s="12" t="s">
        <v>19</v>
      </c>
      <c r="G14" s="12" t="s">
        <v>20</v>
      </c>
    </row>
    <row r="15" spans="1:7" x14ac:dyDescent="0.25">
      <c r="A15" s="13">
        <v>1</v>
      </c>
      <c r="B15" s="14" t="s">
        <v>21</v>
      </c>
      <c r="C15" s="15">
        <f>SUMIFS('Chi tiết'!$G$5:$G$8,'Chi tiết'!$E$5:$E$8,$B15,'Chi tiết'!$D$5:$D$8,"Nhập")</f>
        <v>13.5</v>
      </c>
      <c r="D15" s="16">
        <f>SUMIFS('Chi tiết'!$H$5:$H$8,'Chi tiết'!$E$5:$E$8,$B15,'Chi tiết'!$D$5:$D$8,"Nhập")</f>
        <v>1315000</v>
      </c>
      <c r="E15" s="15">
        <f>SUMIFS('Chi tiết'!$G$5:$G$8,'Chi tiết'!$E$5:$E$8,$B15,'Chi tiết'!$D$5:$D$8,"Bán")</f>
        <v>5</v>
      </c>
      <c r="F15" s="16">
        <f>SUMIFS('Chi tiết'!$H$5:$H$8,'Chi tiết'!$E$5:$E$8,$B15,'Chi tiết'!$D$5:$D$8,"Bán")</f>
        <v>525000</v>
      </c>
      <c r="G15" s="16">
        <f>F15-D15</f>
        <v>-790000</v>
      </c>
    </row>
    <row r="16" spans="1:7" x14ac:dyDescent="0.25">
      <c r="A16" s="17">
        <v>2</v>
      </c>
      <c r="B16" s="18" t="s">
        <v>22</v>
      </c>
      <c r="C16" s="19">
        <f>SUMIFS('Chi tiết'!$G$5:$G$8,'Chi tiết'!$E$5:$E$8,$B16,'Chi tiết'!$D$5:$D$8,"Nhập")</f>
        <v>1123</v>
      </c>
      <c r="D16" s="20">
        <f>SUMIFS('Chi tiết'!$H$5:$H$8,'Chi tiết'!$E$5:$E$8,$B16,'Chi tiết'!$D$5:$D$8,"Nhập")</f>
        <v>138129</v>
      </c>
      <c r="E16" s="19">
        <f>SUMIFS('Chi tiết'!$G$5:$G$8,'Chi tiết'!$E$5:$E$8,$B16,'Chi tiết'!$D$5:$D$8,"Bán")</f>
        <v>0</v>
      </c>
      <c r="F16" s="20">
        <f>SUMIFS('Chi tiết'!$H$5:$H$8,'Chi tiết'!$E$5:$E$8,$B16,'Chi tiết'!$D$5:$D$8,"Bán")</f>
        <v>0</v>
      </c>
      <c r="G16" s="20">
        <f>F16-D16</f>
        <v>-138129</v>
      </c>
    </row>
    <row r="17" spans="1:7" x14ac:dyDescent="0.25">
      <c r="A17" s="21" t="s">
        <v>23</v>
      </c>
      <c r="B17" s="21"/>
      <c r="C17" s="22">
        <f>SUM(C15:C16)</f>
      </c>
      <c r="D17" s="23">
        <f>SUM(D15:D16)</f>
      </c>
      <c r="E17" s="22">
        <f>SUM(E15:E16)</f>
      </c>
      <c r="F17" s="23">
        <f>SUM(F15:F16)</f>
      </c>
      <c r="G17" s="23">
        <f>SUM(G15:G16)</f>
      </c>
    </row>
    <row r="19" ht="20" customHeight="1" spans="1:7" x14ac:dyDescent="0.25">
      <c r="A19" s="4" t="s">
        <v>24</v>
      </c>
      <c r="B19" s="4"/>
      <c r="C19" s="4"/>
      <c r="D19" s="4"/>
      <c r="E19" s="4"/>
      <c r="F19" s="4"/>
      <c r="G19" s="4"/>
    </row>
    <row r="20" ht="24" customHeight="1" spans="1:7" x14ac:dyDescent="0.25">
      <c r="A20" s="12" t="s">
        <v>14</v>
      </c>
      <c r="B20" s="12" t="s">
        <v>25</v>
      </c>
      <c r="C20" s="12" t="s">
        <v>16</v>
      </c>
      <c r="D20" s="12" t="s">
        <v>17</v>
      </c>
      <c r="E20" s="12" t="s">
        <v>18</v>
      </c>
      <c r="F20" s="12" t="s">
        <v>19</v>
      </c>
      <c r="G20" s="12" t="s">
        <v>20</v>
      </c>
    </row>
    <row r="21" spans="1:7" x14ac:dyDescent="0.25">
      <c r="A21" s="13">
        <v>1</v>
      </c>
      <c r="B21" s="24" t="s">
        <v>26</v>
      </c>
      <c r="C21" s="15">
        <v>1</v>
      </c>
      <c r="D21" s="16">
        <v>90000</v>
      </c>
      <c r="E21" s="15">
        <v>0</v>
      </c>
      <c r="F21" s="16">
        <v>0</v>
      </c>
      <c r="G21" s="16">
        <f>F21-D21</f>
        <v>-90000</v>
      </c>
    </row>
    <row r="22" spans="1:7" x14ac:dyDescent="0.25">
      <c r="A22" s="17">
        <v>2</v>
      </c>
      <c r="B22" s="25" t="s">
        <v>27</v>
      </c>
      <c r="C22" s="19">
        <v>1135.5</v>
      </c>
      <c r="D22" s="20">
        <v>1363129</v>
      </c>
      <c r="E22" s="19">
        <v>5</v>
      </c>
      <c r="F22" s="20">
        <v>525000</v>
      </c>
      <c r="G22" s="20">
        <f>F22-D22</f>
        <v>-838129</v>
      </c>
    </row>
    <row r="23" spans="1:7" x14ac:dyDescent="0.25">
      <c r="A23" s="21" t="s">
        <v>23</v>
      </c>
      <c r="B23" s="21"/>
      <c r="C23" s="22">
        <f>SUM(C21:C22)</f>
      </c>
      <c r="D23" s="23">
        <f>SUM(D21:D22)</f>
      </c>
      <c r="E23" s="22">
        <f>SUM(E21:E22)</f>
      </c>
      <c r="F23" s="23">
        <f>SUM(F21:F22)</f>
      </c>
      <c r="G23" s="23">
        <f>SUM(G21:G22)</f>
      </c>
    </row>
    <row r="25" spans="5:7" x14ac:dyDescent="0.25">
      <c r="E25" s="26" t="s">
        <v>28</v>
      </c>
      <c r="F25" s="26"/>
      <c r="G25" s="26"/>
    </row>
    <row r="26" spans="1:7" x14ac:dyDescent="0.25">
      <c r="A26" s="27" t="s">
        <v>29</v>
      </c>
      <c r="B26" s="27"/>
      <c r="C26" s="27"/>
      <c r="E26" s="27" t="s">
        <v>30</v>
      </c>
      <c r="F26" s="27"/>
      <c r="G26" s="27"/>
    </row>
    <row r="27" spans="1:7" x14ac:dyDescent="0.25">
      <c r="A27" s="28" t="s">
        <v>31</v>
      </c>
      <c r="B27" s="28"/>
      <c r="C27" s="28"/>
      <c r="E27" s="28" t="s">
        <v>31</v>
      </c>
      <c r="F27" s="28"/>
      <c r="G27" s="28"/>
    </row>
  </sheetData>
  <mergeCells count="19">
    <mergeCell ref="A1:G1"/>
    <mergeCell ref="A2:G2"/>
    <mergeCell ref="A3:G3"/>
    <mergeCell ref="A5:G5"/>
    <mergeCell ref="A6:C6"/>
    <mergeCell ref="A7:C7"/>
    <mergeCell ref="A8:C8"/>
    <mergeCell ref="A9:C9"/>
    <mergeCell ref="A10:C10"/>
    <mergeCell ref="A11:C11"/>
    <mergeCell ref="A13:G13"/>
    <mergeCell ref="A17:B17"/>
    <mergeCell ref="A19:G19"/>
    <mergeCell ref="A23:B23"/>
    <mergeCell ref="E25:G25"/>
    <mergeCell ref="A26:C26"/>
    <mergeCell ref="E26:G26"/>
    <mergeCell ref="A27:C27"/>
    <mergeCell ref="E27:G27"/>
  </mergeCells>
  <printOptions horizontalCentered="1"/>
  <pageMargins left="0.4" right="0.4" top="0.6" bottom="0.6" header="0.3" footer="0.3"/>
  <pageSetup paperSize="9" orientation="landscape" fitToWidth="1" fitToHeight="0"/>
  <headerFooter>
    <oddFooter>&amp;LQuản lý phế liệu&amp;RTrang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5" max="5" width="28" customWidth="1"/>
    <col min="6" max="7" width="16" customWidth="1"/>
    <col min="8" max="8" width="18" customWidth="1"/>
    <col min="9" max="9" width="32" customWidth="1"/>
  </cols>
  <sheetData>
    <row r="1" ht="28" customHeight="1" spans="1:9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24" customHeight="1" spans="1:9" x14ac:dyDescent="0.25">
      <c r="A4" s="12" t="s">
        <v>14</v>
      </c>
      <c r="B4" s="12" t="s">
        <v>33</v>
      </c>
      <c r="C4" s="12" t="s">
        <v>34</v>
      </c>
      <c r="D4" s="12" t="s">
        <v>35</v>
      </c>
      <c r="E4" s="12" t="s">
        <v>15</v>
      </c>
      <c r="F4" s="12" t="s">
        <v>36</v>
      </c>
      <c r="G4" s="12" t="s">
        <v>37</v>
      </c>
      <c r="H4" s="12" t="s">
        <v>38</v>
      </c>
      <c r="I4" s="12" t="s">
        <v>39</v>
      </c>
    </row>
    <row r="5" spans="1:9" x14ac:dyDescent="0.25">
      <c r="A5" s="13">
        <v>1</v>
      </c>
      <c r="B5" s="29">
        <v>46295</v>
      </c>
      <c r="C5" s="30">
        <v>0.3333333333333333</v>
      </c>
      <c r="D5" s="13" t="s">
        <v>40</v>
      </c>
      <c r="E5" s="14" t="s">
        <v>21</v>
      </c>
      <c r="F5" s="16">
        <v>90000</v>
      </c>
      <c r="G5" s="15">
        <v>1</v>
      </c>
      <c r="H5" s="16">
        <f>F5*G5</f>
        <v>90000</v>
      </c>
      <c r="I5" s="31" t="s">
        <v>41</v>
      </c>
    </row>
    <row r="6" spans="1:9" x14ac:dyDescent="0.25">
      <c r="A6" s="17">
        <v>2</v>
      </c>
      <c r="B6" s="32">
        <v>46300</v>
      </c>
      <c r="C6" s="33">
        <v>0.3958333333333333</v>
      </c>
      <c r="D6" s="17" t="s">
        <v>40</v>
      </c>
      <c r="E6" s="18" t="s">
        <v>21</v>
      </c>
      <c r="F6" s="20">
        <v>98000</v>
      </c>
      <c r="G6" s="19">
        <v>12.5</v>
      </c>
      <c r="H6" s="20">
        <f>F6*G6</f>
        <v>1225000</v>
      </c>
      <c r="I6" s="34" t="s">
        <v>42</v>
      </c>
    </row>
    <row r="7" spans="1:9" x14ac:dyDescent="0.25">
      <c r="A7" s="13">
        <v>3</v>
      </c>
      <c r="B7" s="29">
        <v>46300</v>
      </c>
      <c r="C7" s="30">
        <v>0.5868055555555556</v>
      </c>
      <c r="D7" s="13" t="s">
        <v>40</v>
      </c>
      <c r="E7" s="14" t="s">
        <v>22</v>
      </c>
      <c r="F7" s="16">
        <v>123</v>
      </c>
      <c r="G7" s="15">
        <v>1123</v>
      </c>
      <c r="H7" s="16">
        <f>F7*G7</f>
        <v>138129</v>
      </c>
      <c r="I7" s="31" t="s">
        <v>43</v>
      </c>
    </row>
    <row r="8" spans="1:9" x14ac:dyDescent="0.25">
      <c r="A8" s="17">
        <v>4</v>
      </c>
      <c r="B8" s="32">
        <v>46301</v>
      </c>
      <c r="C8" s="33">
        <v>0.3333333333333333</v>
      </c>
      <c r="D8" s="17" t="s">
        <v>44</v>
      </c>
      <c r="E8" s="18" t="s">
        <v>21</v>
      </c>
      <c r="F8" s="20">
        <v>105000</v>
      </c>
      <c r="G8" s="19">
        <v>5</v>
      </c>
      <c r="H8" s="20">
        <f>F8*G8</f>
        <v>525000</v>
      </c>
      <c r="I8" s="34" t="s">
        <v>45</v>
      </c>
    </row>
    <row r="10" spans="1:8" x14ac:dyDescent="0.25">
      <c r="A10" s="35" t="s">
        <v>46</v>
      </c>
      <c r="B10" s="35"/>
      <c r="C10" s="35"/>
      <c r="D10" s="35"/>
      <c r="E10" s="35"/>
      <c r="F10" s="35"/>
      <c r="G10" s="35"/>
      <c r="H10" s="36">
        <f>SUMIFS($H$5:$H$8,$D$5:$D$8,"Nhập")</f>
        <v>1453129</v>
      </c>
    </row>
    <row r="11" spans="1:8" x14ac:dyDescent="0.25">
      <c r="A11" s="35" t="s">
        <v>47</v>
      </c>
      <c r="B11" s="35"/>
      <c r="C11" s="35"/>
      <c r="D11" s="35"/>
      <c r="E11" s="35"/>
      <c r="F11" s="35"/>
      <c r="G11" s="35"/>
      <c r="H11" s="36">
        <f>SUMIFS($H$5:$H$8,$D$5:$D$8,"Bán")</f>
        <v>525000</v>
      </c>
    </row>
    <row r="12" spans="1:8" x14ac:dyDescent="0.25">
      <c r="A12" s="35" t="s">
        <v>48</v>
      </c>
      <c r="B12" s="35"/>
      <c r="C12" s="35"/>
      <c r="D12" s="35"/>
      <c r="E12" s="35"/>
      <c r="F12" s="35"/>
      <c r="G12" s="35"/>
      <c r="H12" s="36">
        <f>H11-H10</f>
        <v>-928129</v>
      </c>
    </row>
  </sheetData>
  <autoFilter ref="A4:I8"/>
  <mergeCells count="6">
    <mergeCell ref="A1:I1"/>
    <mergeCell ref="A2:I2"/>
    <mergeCell ref="A3:I3"/>
    <mergeCell ref="A10:G10"/>
    <mergeCell ref="A11:G11"/>
    <mergeCell ref="A12:G12"/>
  </mergeCells>
  <printOptions horizontalCentered="1"/>
  <pageMargins left="0.4" right="0.4" top="0.6" bottom="0.6" header="0.3" footer="0.3"/>
  <pageSetup paperSize="9" orientation="landscape" fitToWidth="1" fitToHeight="0"/>
  <headerFooter>
    <oddFooter>&amp;LQuản lý phế liệu&amp;RTrang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28" customWidth="1"/>
    <col min="4" max="6" width="16" customWidth="1"/>
  </cols>
  <sheetData>
    <row r="1" ht="28" customHeight="1" spans="1:6" x14ac:dyDescent="0.25">
      <c r="A1" s="1" t="s">
        <v>49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16" customHeight="1" spans="1:6" x14ac:dyDescent="0.25">
      <c r="A3" s="3" t="s">
        <v>2</v>
      </c>
      <c r="B3" s="3"/>
      <c r="C3" s="3"/>
      <c r="D3" s="3"/>
      <c r="E3" s="3"/>
      <c r="F3" s="3"/>
    </row>
    <row r="4" ht="24" customHeight="1" spans="1:6" x14ac:dyDescent="0.25">
      <c r="A4" s="12" t="s">
        <v>14</v>
      </c>
      <c r="B4" s="12" t="s">
        <v>50</v>
      </c>
      <c r="C4" s="12" t="s">
        <v>15</v>
      </c>
      <c r="D4" s="12" t="s">
        <v>51</v>
      </c>
      <c r="E4" s="12" t="s">
        <v>52</v>
      </c>
      <c r="F4" s="12" t="s">
        <v>20</v>
      </c>
    </row>
    <row r="5" spans="1:6" x14ac:dyDescent="0.25">
      <c r="A5" s="13">
        <v>1</v>
      </c>
      <c r="B5" s="37">
        <v>46296.33333333333</v>
      </c>
      <c r="C5" s="14" t="s">
        <v>21</v>
      </c>
      <c r="D5" s="38" t="s">
        <v>53</v>
      </c>
      <c r="E5" s="16">
        <v>95000</v>
      </c>
      <c r="F5" s="16" t="s">
        <v>43</v>
      </c>
    </row>
    <row r="6" spans="1:6" x14ac:dyDescent="0.25">
      <c r="A6" s="17">
        <v>2</v>
      </c>
      <c r="B6" s="39">
        <v>46300.33333333333</v>
      </c>
      <c r="C6" s="18" t="s">
        <v>21</v>
      </c>
      <c r="D6" s="20">
        <v>95000</v>
      </c>
      <c r="E6" s="20">
        <v>98000</v>
      </c>
      <c r="F6" s="20">
        <f>E6-D6</f>
        <v>3000</v>
      </c>
    </row>
  </sheetData>
  <mergeCells count="3">
    <mergeCell ref="A1:F1"/>
    <mergeCell ref="A2:F2"/>
    <mergeCell ref="A3:F3"/>
  </mergeCells>
  <printOptions horizontalCentered="1"/>
  <pageMargins left="0.4" right="0.4" top="0.6" bottom="0.6" header="0.3" footer="0.3"/>
  <pageSetup paperSize="9" orientation="landscape" fitToWidth="1" fitToHeight="0"/>
  <headerFooter>
    <oddFooter>&amp;LQuản lý phế liệu&amp;RTrang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kết</vt:lpstr>
      <vt:lpstr>Chi tiết</vt:lpstr>
      <vt:lpstr>Lịch sử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dc:title/>
  <dc:subject/>
  <dc:description/>
  <cp:keywords/>
  <cp:category/>
  <cp:lastModifiedBy>Unknown</cp:lastModifiedBy>
  <dcterms:created xsi:type="dcterms:W3CDTF">2026-10-05T02:21:13Z</dcterms:created>
  <dcterms:modified xsi:type="dcterms:W3CDTF">2026-10-05T02:21:13Z</dcterms:modified>
</cp:coreProperties>
</file>